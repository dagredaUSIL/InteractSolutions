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torres\Desktop\"/>
    </mc:Choice>
  </mc:AlternateContent>
  <bookViews>
    <workbookView xWindow="0" yWindow="0" windowWidth="20490" windowHeight="7755" activeTab="1"/>
  </bookViews>
  <sheets>
    <sheet name="Informe" sheetId="1" r:id="rId1"/>
    <sheet name="Tablas" sheetId="2" r:id="rId2"/>
  </sheets>
  <definedNames>
    <definedName name="_xlnm.Print_Area" localSheetId="0">Informe!$A$2:$E$42</definedName>
    <definedName name="Operaciones">Tablas!$B$5:$B$14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1" l="1"/>
  <c r="B31" i="1"/>
  <c r="C30" i="1"/>
  <c r="B14" i="1"/>
  <c r="B25" i="1" l="1"/>
  <c r="B24" i="1"/>
  <c r="B23" i="1"/>
  <c r="B22" i="1"/>
  <c r="B21" i="1"/>
  <c r="B20" i="1"/>
  <c r="B19" i="1"/>
  <c r="B18" i="1"/>
  <c r="B17" i="1"/>
  <c r="B16" i="1"/>
  <c r="B15" i="1"/>
  <c r="B13" i="1"/>
</calcChain>
</file>

<file path=xl/sharedStrings.xml><?xml version="1.0" encoding="utf-8"?>
<sst xmlns="http://schemas.openxmlformats.org/spreadsheetml/2006/main" count="211" uniqueCount="122">
  <si>
    <t>Operación</t>
  </si>
  <si>
    <t>Carta de Solicitud de cliente</t>
  </si>
  <si>
    <t>Detalle de Pagos</t>
  </si>
  <si>
    <t>Impresión de Plan de Pagos</t>
  </si>
  <si>
    <t>SI</t>
  </si>
  <si>
    <t>NO</t>
  </si>
  <si>
    <t>Carta Notariada (si son de distintos clientes)</t>
  </si>
  <si>
    <t>N/A</t>
  </si>
  <si>
    <t>Nº</t>
  </si>
  <si>
    <t>CHECK LIST PLATAFORMA</t>
  </si>
  <si>
    <t>Nombre Cliente:</t>
  </si>
  <si>
    <t>Celular:</t>
  </si>
  <si>
    <t xml:space="preserve">Documento 1 </t>
  </si>
  <si>
    <t>Documento 2</t>
  </si>
  <si>
    <t>Documento 3</t>
  </si>
  <si>
    <t>Documento 4</t>
  </si>
  <si>
    <t>Documento 5</t>
  </si>
  <si>
    <t>Documento 6</t>
  </si>
  <si>
    <t>Documento 7</t>
  </si>
  <si>
    <t>Documento 8</t>
  </si>
  <si>
    <t>Documento 9</t>
  </si>
  <si>
    <t>Documento 10</t>
  </si>
  <si>
    <t>TRASPASO DE APORTES</t>
  </si>
  <si>
    <t>REQUISITOS</t>
  </si>
  <si>
    <t>Operación :</t>
  </si>
  <si>
    <t>ope5</t>
  </si>
  <si>
    <t>NOMBRE ASISTENTE</t>
  </si>
  <si>
    <t>EDSON BLANCO SANDOVAL</t>
  </si>
  <si>
    <t>CLAUDIA CESPEDES BLACUTT</t>
  </si>
  <si>
    <t>CARGO</t>
  </si>
  <si>
    <t>Asistente de Atencion al Cliente</t>
  </si>
  <si>
    <t>FORMULARIOS QUE LLEVAN POR OPERACIÓN</t>
  </si>
  <si>
    <t>Formulario Cesion de Derecho y Obligaciones</t>
  </si>
  <si>
    <t>Formulario de Aviso de Cesion de Derecho y Obligaciones</t>
  </si>
  <si>
    <t>Carnet de Identidad</t>
  </si>
  <si>
    <t>Carta Notariada</t>
  </si>
  <si>
    <t>Documento 11</t>
  </si>
  <si>
    <t>Documento 12</t>
  </si>
  <si>
    <t>Formulario de Solicitud de Traspaso de Aportes</t>
  </si>
  <si>
    <t>Resolucion de Contrato</t>
  </si>
  <si>
    <t>Formulario de Solicitud de Reubicacion de Lote</t>
  </si>
  <si>
    <t>Defecto Topografico</t>
  </si>
  <si>
    <t>Certificado de Cancelacion Total</t>
  </si>
  <si>
    <t>Fotocopia de Boleta de Pago</t>
  </si>
  <si>
    <t>Ademda</t>
  </si>
  <si>
    <t>Captura de Pantalla de SAP del Descuento del Pago Anticipado</t>
  </si>
  <si>
    <t>Formulario de Verificacion</t>
  </si>
  <si>
    <t>Formulario de Solicitud de Compra y Venta</t>
  </si>
  <si>
    <t>Documento Preliminar de Adhecion Obligatoria</t>
  </si>
  <si>
    <t>Compra para Tercero</t>
  </si>
  <si>
    <t>Croquis Impreso</t>
  </si>
  <si>
    <t>Boleta de Pago de la INICIAL</t>
  </si>
  <si>
    <t xml:space="preserve">Plan de Pagos </t>
  </si>
  <si>
    <t>Formulario de Entrega de Contratos</t>
  </si>
  <si>
    <t>MERY ARIAS OCHOVA</t>
  </si>
  <si>
    <t>CESION DE DERECHO</t>
  </si>
  <si>
    <t>REUBICACION</t>
  </si>
  <si>
    <t>TAMARA LOPEZ</t>
  </si>
  <si>
    <t>NOELIA RODRIGO</t>
  </si>
  <si>
    <t>WILBER LUNA ARCE</t>
  </si>
  <si>
    <t>PEDRO GUIBARRA</t>
  </si>
  <si>
    <t>ROBERTO TORRICO</t>
  </si>
  <si>
    <t>JUAN CARLOS FERNANDEZ</t>
  </si>
  <si>
    <t>MARCO SULZER</t>
  </si>
  <si>
    <t>LILIAN BARRIENTOS</t>
  </si>
  <si>
    <t>Asistente de Operaciones</t>
  </si>
  <si>
    <t>NUEVO</t>
  </si>
  <si>
    <t>CARGO NUEVO</t>
  </si>
  <si>
    <t>RAMSES ROMERO SANCHEZ</t>
  </si>
  <si>
    <t>Nota.-</t>
  </si>
  <si>
    <t xml:space="preserve"> - Al momento de Presentar la Carpeta, los Documentos tienen que estar ordenados de acuerdo al check list,     </t>
  </si>
  <si>
    <t>ENCARGADA</t>
  </si>
  <si>
    <t>Coordinadora de Atencion al Cliente</t>
  </si>
  <si>
    <t>VERONICA ROJAS BARRIONUEVO</t>
  </si>
  <si>
    <t>ALFREDO PORTILLO</t>
  </si>
  <si>
    <t>VICTOR HUGO QUEVEDO GOMEZ</t>
  </si>
  <si>
    <t>Fotocopia Carnet de Identidad (Si es carnet con QR)</t>
  </si>
  <si>
    <t>Fotocopia de Boleta de Pago (ò Carta de Extravio)</t>
  </si>
  <si>
    <t>Detalle de Plan de Pagos</t>
  </si>
  <si>
    <t>Certificado de Cancelacion de Pagos (Original)</t>
  </si>
  <si>
    <t>DESISTIMIENTO</t>
  </si>
  <si>
    <t>Formulario  de Solicitud de Desistimiento Voluntario</t>
  </si>
  <si>
    <t xml:space="preserve"> - Deben presentarse con todas las firmas respectivas</t>
  </si>
  <si>
    <t>Fotocopia de Comprobante pago por la App (Si coresponde)</t>
  </si>
  <si>
    <t>Contrato:</t>
  </si>
  <si>
    <t>Carnet :</t>
  </si>
  <si>
    <t>Informe elaborado por el Asistente</t>
  </si>
  <si>
    <t>Contrato de Cesion de Derecho</t>
  </si>
  <si>
    <t>Documento 13</t>
  </si>
  <si>
    <t>Carta de Solicitud de cliente Manuscrita o Digital</t>
  </si>
  <si>
    <t>Contrato</t>
  </si>
  <si>
    <t>Carta de Solicitud de cliente (Manual o Manuscrita)</t>
  </si>
  <si>
    <t>ope6</t>
  </si>
  <si>
    <t>ope7</t>
  </si>
  <si>
    <t>ope8</t>
  </si>
  <si>
    <t>PACIFICO CLAURE MAMANI</t>
  </si>
  <si>
    <t>Formulario de "Solicitud de pago por Anticipado"</t>
  </si>
  <si>
    <t>Formulario Para Mostrar Lote</t>
  </si>
  <si>
    <t>Certificados de Cancelacion Total (Los 2 Originales)</t>
  </si>
  <si>
    <t>Comunicación Interna elaborado por el Asistente</t>
  </si>
  <si>
    <t>Comunicación Interna elaborado  por el Asistente</t>
  </si>
  <si>
    <t xml:space="preserve">Formulario de Restablesimiento </t>
  </si>
  <si>
    <t>Formulario de "Solicitud de pago por Anticipado" por cuenta del titular</t>
  </si>
  <si>
    <t>carnet de identidad de la persona a cuenta de tituar</t>
  </si>
  <si>
    <t xml:space="preserve">Impresion de Plan de Pagos </t>
  </si>
  <si>
    <t xml:space="preserve">VENTA AL CONTADO </t>
  </si>
  <si>
    <t>certificado de Cancelacion total</t>
  </si>
  <si>
    <t>Adenda</t>
  </si>
  <si>
    <t>ajuste de precio</t>
  </si>
  <si>
    <t xml:space="preserve">Boleta de Pago </t>
  </si>
  <si>
    <t>Documento Preliminar de Adhesion Obligatoria</t>
  </si>
  <si>
    <t>ALEYDA CASTELLANOS LAYME</t>
  </si>
  <si>
    <t>Compra para Tercero y/o inclusion</t>
  </si>
  <si>
    <t>GUSTAVO ALFONSO PEÑAFIEL CLAVEL</t>
  </si>
  <si>
    <t>VENTA NUEVA (Cuotas)</t>
  </si>
  <si>
    <t xml:space="preserve">CANCELACION TOTAL </t>
  </si>
  <si>
    <t>Tiempo de conclusion</t>
  </si>
  <si>
    <t>1 dia</t>
  </si>
  <si>
    <t>2 dias</t>
  </si>
  <si>
    <t>10 dias</t>
  </si>
  <si>
    <r>
      <t>RESTITUCION/</t>
    </r>
    <r>
      <rPr>
        <i/>
        <sz val="10"/>
        <rFont val="Calibri"/>
        <family val="2"/>
        <scheme val="minor"/>
      </rPr>
      <t>restablecimiento</t>
    </r>
  </si>
  <si>
    <r>
      <t>PAGO ANTICIPADO TOTAL/</t>
    </r>
    <r>
      <rPr>
        <i/>
        <sz val="10"/>
        <rFont val="Calibri"/>
        <family val="2"/>
        <scheme val="minor"/>
      </rPr>
      <t>liquidacion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</si>
</sst>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4"/>
      <color rgb="FF0070C0"/>
      <name val="Bahnschrift Light SemiCondensed"/>
      <family val="2"/>
    </font>
    <font>
      <b/>
      <sz val="10"/>
      <color theme="1"/>
      <name val="Calibri"/>
      <family val="2"/>
      <scheme val="minor"/>
    </font>
    <font>
      <sz val="28"/>
      <color rgb="FF0070C0"/>
      <name val="Arial Black"/>
      <family val="2"/>
    </font>
    <font>
      <sz val="14"/>
      <color theme="1"/>
      <name val="Bahnschrift Light SemiCondensed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2" xfId="0" applyBorder="1"/>
    <xf numFmtId="0" fontId="1" fillId="0" borderId="2" xfId="0" applyFont="1" applyFill="1" applyBorder="1" applyAlignment="1">
      <alignment vertical="center"/>
    </xf>
    <xf numFmtId="0" fontId="0" fillId="0" borderId="2" xfId="0" applyFill="1" applyBorder="1"/>
    <xf numFmtId="0" fontId="1" fillId="0" borderId="2" xfId="0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/>
    <xf numFmtId="0" fontId="6" fillId="2" borderId="3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4" borderId="0" xfId="0" applyFill="1"/>
    <xf numFmtId="0" fontId="5" fillId="4" borderId="0" xfId="0" applyFont="1" applyFill="1" applyAlignment="1">
      <alignment vertical="center"/>
    </xf>
    <xf numFmtId="0" fontId="3" fillId="4" borderId="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 indent="1"/>
    </xf>
    <xf numFmtId="0" fontId="0" fillId="4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 indent="1"/>
    </xf>
    <xf numFmtId="0" fontId="0" fillId="4" borderId="2" xfId="0" applyFill="1" applyBorder="1" applyAlignment="1">
      <alignment vertical="center"/>
    </xf>
    <xf numFmtId="2" fontId="0" fillId="4" borderId="0" xfId="0" applyNumberFormat="1" applyFill="1" applyBorder="1"/>
    <xf numFmtId="0" fontId="9" fillId="4" borderId="0" xfId="0" applyFont="1" applyFill="1" applyBorder="1"/>
    <xf numFmtId="0" fontId="10" fillId="4" borderId="0" xfId="0" applyFont="1" applyFill="1" applyAlignment="1">
      <alignment horizontal="right"/>
    </xf>
    <xf numFmtId="0" fontId="0" fillId="4" borderId="0" xfId="0" applyFill="1" applyAlignment="1">
      <alignment vertical="top" wrapText="1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left" indent="1"/>
    </xf>
    <xf numFmtId="0" fontId="6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6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left" indent="1"/>
    </xf>
    <xf numFmtId="0" fontId="0" fillId="0" borderId="9" xfId="0" applyFill="1" applyBorder="1"/>
    <xf numFmtId="0" fontId="13" fillId="4" borderId="2" xfId="0" applyFont="1" applyFill="1" applyBorder="1" applyAlignment="1">
      <alignment horizontal="left" vertical="center" indent="1"/>
    </xf>
    <xf numFmtId="0" fontId="14" fillId="4" borderId="2" xfId="1" applyFill="1" applyBorder="1" applyAlignment="1">
      <alignment horizontal="center" vertical="center"/>
    </xf>
    <xf numFmtId="0" fontId="0" fillId="5" borderId="0" xfId="0" applyFill="1"/>
    <xf numFmtId="0" fontId="13" fillId="4" borderId="2" xfId="0" applyFont="1" applyFill="1" applyBorder="1" applyAlignment="1">
      <alignment horizontal="left" vertical="center" wrapText="1" indent="1"/>
    </xf>
    <xf numFmtId="0" fontId="0" fillId="3" borderId="2" xfId="0" applyFill="1" applyBorder="1" applyAlignment="1">
      <alignment horizontal="left"/>
    </xf>
    <xf numFmtId="0" fontId="15" fillId="0" borderId="2" xfId="0" applyFont="1" applyFill="1" applyBorder="1"/>
    <xf numFmtId="0" fontId="15" fillId="0" borderId="0" xfId="0" applyFont="1" applyFill="1"/>
    <xf numFmtId="0" fontId="8" fillId="4" borderId="7" xfId="0" applyFont="1" applyFill="1" applyBorder="1" applyAlignment="1">
      <alignment horizontal="left" indent="1"/>
    </xf>
    <xf numFmtId="0" fontId="11" fillId="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4" borderId="0" xfId="0" applyFill="1" applyAlignment="1">
      <alignment horizontal="left" vertical="top" wrapText="1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5" fillId="5" borderId="2" xfId="0" applyFont="1" applyFill="1" applyBorder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1</xdr:row>
      <xdr:rowOff>47626</xdr:rowOff>
    </xdr:from>
    <xdr:to>
      <xdr:col>4</xdr:col>
      <xdr:colOff>666750</xdr:colOff>
      <xdr:row>1</xdr:row>
      <xdr:rowOff>1043884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50" y="104776"/>
          <a:ext cx="2066925" cy="996258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1</xdr:row>
      <xdr:rowOff>28575</xdr:rowOff>
    </xdr:from>
    <xdr:to>
      <xdr:col>1</xdr:col>
      <xdr:colOff>980018</xdr:colOff>
      <xdr:row>1</xdr:row>
      <xdr:rowOff>1085850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85725"/>
          <a:ext cx="2075392" cy="1057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8"/>
  <sheetViews>
    <sheetView topLeftCell="A7" zoomScaleNormal="100" workbookViewId="0">
      <selection activeCell="B6" sqref="B6:E6"/>
    </sheetView>
  </sheetViews>
  <sheetFormatPr baseColWidth="10" defaultRowHeight="12.75" x14ac:dyDescent="0.2"/>
  <cols>
    <col min="1" max="1" width="17" style="9" bestFit="1" customWidth="1"/>
    <col min="2" max="2" width="57" style="9" customWidth="1"/>
    <col min="3" max="5" width="10.7109375" style="9" customWidth="1"/>
    <col min="6" max="16384" width="11.42578125" style="9"/>
  </cols>
  <sheetData>
    <row r="1" spans="1:6" ht="104.25" customHeight="1" x14ac:dyDescent="0.2"/>
    <row r="2" spans="1:6" ht="88.5" customHeight="1" x14ac:dyDescent="0.2"/>
    <row r="3" spans="1:6" ht="5.0999999999999996" customHeight="1" thickBot="1" x14ac:dyDescent="0.25"/>
    <row r="4" spans="1:6" ht="15" customHeight="1" thickBot="1" x14ac:dyDescent="0.25">
      <c r="A4" s="44" t="s">
        <v>9</v>
      </c>
      <c r="B4" s="45"/>
      <c r="C4" s="45"/>
      <c r="D4" s="45"/>
      <c r="E4" s="46"/>
      <c r="F4" s="10"/>
    </row>
    <row r="5" spans="1:6" ht="5.0999999999999996" customHeight="1" x14ac:dyDescent="0.2">
      <c r="A5" s="11"/>
      <c r="B5" s="11"/>
      <c r="C5" s="11"/>
      <c r="D5" s="11"/>
      <c r="E5" s="11"/>
      <c r="F5" s="10"/>
    </row>
    <row r="6" spans="1:6" ht="38.25" customHeight="1" x14ac:dyDescent="0.2">
      <c r="A6" s="29" t="s">
        <v>24</v>
      </c>
      <c r="B6" s="43" t="s">
        <v>80</v>
      </c>
      <c r="C6" s="43"/>
      <c r="D6" s="43"/>
      <c r="E6" s="43"/>
      <c r="F6" s="12"/>
    </row>
    <row r="7" spans="1:6" ht="5.0999999999999996" customHeight="1" x14ac:dyDescent="0.2">
      <c r="A7" s="30"/>
      <c r="B7" s="12"/>
      <c r="C7" s="12"/>
      <c r="D7" s="12"/>
      <c r="E7" s="12"/>
      <c r="F7" s="12"/>
    </row>
    <row r="8" spans="1:6" ht="20.100000000000001" customHeight="1" x14ac:dyDescent="0.55000000000000004">
      <c r="A8" s="31" t="s">
        <v>10</v>
      </c>
      <c r="B8" s="33" t="s">
        <v>95</v>
      </c>
      <c r="C8" s="31" t="s">
        <v>85</v>
      </c>
      <c r="D8" s="42">
        <v>7734919</v>
      </c>
      <c r="E8" s="42"/>
      <c r="F8" s="13"/>
    </row>
    <row r="9" spans="1:6" ht="5.0999999999999996" customHeight="1" x14ac:dyDescent="0.55000000000000004">
      <c r="A9" s="31"/>
      <c r="B9" s="27"/>
      <c r="C9" s="32"/>
      <c r="D9" s="33"/>
      <c r="E9" s="33"/>
      <c r="F9" s="13"/>
    </row>
    <row r="10" spans="1:6" ht="20.100000000000001" customHeight="1" x14ac:dyDescent="0.55000000000000004">
      <c r="A10" s="31" t="s">
        <v>84</v>
      </c>
      <c r="B10" s="28">
        <v>4130013263</v>
      </c>
      <c r="C10" s="31" t="s">
        <v>11</v>
      </c>
      <c r="D10" s="42">
        <v>60001306</v>
      </c>
      <c r="E10" s="42"/>
      <c r="F10" s="13"/>
    </row>
    <row r="11" spans="1:6" ht="5.0999999999999996" customHeight="1" thickBot="1" x14ac:dyDescent="0.6">
      <c r="A11" s="14"/>
      <c r="B11" s="15"/>
      <c r="C11" s="16"/>
      <c r="D11" s="17"/>
      <c r="E11" s="17"/>
      <c r="F11" s="13"/>
    </row>
    <row r="12" spans="1:6" ht="20.25" customHeight="1" thickBot="1" x14ac:dyDescent="0.25">
      <c r="A12" s="7" t="s">
        <v>8</v>
      </c>
      <c r="B12" s="7" t="s">
        <v>23</v>
      </c>
      <c r="C12" s="7" t="s">
        <v>4</v>
      </c>
      <c r="D12" s="7" t="s">
        <v>5</v>
      </c>
      <c r="E12" s="7" t="s">
        <v>7</v>
      </c>
    </row>
    <row r="13" spans="1:6" ht="20.100000000000001" customHeight="1" x14ac:dyDescent="0.2">
      <c r="A13" s="18">
        <v>1</v>
      </c>
      <c r="B13" s="19" t="str">
        <f>VLOOKUP($B$6,Tablas!$B$5:$O$14,2,0)</f>
        <v>Comunicación Interna elaborado por el Asistente</v>
      </c>
      <c r="C13" s="18"/>
      <c r="D13" s="18"/>
      <c r="E13" s="18"/>
    </row>
    <row r="14" spans="1:6" ht="20.100000000000001" customHeight="1" x14ac:dyDescent="0.2">
      <c r="A14" s="20">
        <v>2</v>
      </c>
      <c r="B14" s="35" t="str">
        <f>VLOOKUP(B6,Tablas!B5:O14,3,0)</f>
        <v>Resolucion de Contrato</v>
      </c>
      <c r="C14" s="20"/>
      <c r="D14" s="20"/>
      <c r="E14" s="20"/>
    </row>
    <row r="15" spans="1:6" ht="20.100000000000001" customHeight="1" x14ac:dyDescent="0.2">
      <c r="A15" s="20">
        <v>3</v>
      </c>
      <c r="B15" s="35" t="str">
        <f>VLOOKUP(B6,Tablas!B5:O14,4,0)</f>
        <v>Formulario  de Solicitud de Desistimiento Voluntario</v>
      </c>
      <c r="C15" s="20"/>
      <c r="D15" s="20"/>
      <c r="E15" s="20"/>
    </row>
    <row r="16" spans="1:6" ht="20.100000000000001" customHeight="1" x14ac:dyDescent="0.2">
      <c r="A16" s="20">
        <v>4</v>
      </c>
      <c r="B16" s="21" t="str">
        <f>VLOOKUP(B6,Tablas!B5:O14,5,0)</f>
        <v>Carta de Solicitud de cliente (Manual o Manuscrita)</v>
      </c>
      <c r="C16" s="20"/>
      <c r="D16" s="20"/>
      <c r="E16" s="20"/>
    </row>
    <row r="17" spans="1:5" ht="20.100000000000001" customHeight="1" x14ac:dyDescent="0.2">
      <c r="A17" s="20">
        <v>5</v>
      </c>
      <c r="B17" s="21">
        <f>VLOOKUP(B6,Tablas!B5:O14,6,0)</f>
        <v>0</v>
      </c>
      <c r="C17" s="20"/>
      <c r="D17" s="20"/>
      <c r="E17" s="36"/>
    </row>
    <row r="18" spans="1:5" ht="26.25" customHeight="1" x14ac:dyDescent="0.2">
      <c r="A18" s="20">
        <v>6</v>
      </c>
      <c r="B18" s="38">
        <f>VLOOKUP(B6,Tablas!B5:O14,7,0)</f>
        <v>0</v>
      </c>
      <c r="C18" s="20"/>
      <c r="D18" s="20"/>
      <c r="E18" s="20"/>
    </row>
    <row r="19" spans="1:5" ht="20.100000000000001" customHeight="1" x14ac:dyDescent="0.2">
      <c r="A19" s="20">
        <v>7</v>
      </c>
      <c r="B19" s="35">
        <f>VLOOKUP(B6,Tablas!B5:O14,8,0)</f>
        <v>0</v>
      </c>
      <c r="C19" s="20"/>
      <c r="D19" s="20"/>
      <c r="E19" s="20"/>
    </row>
    <row r="20" spans="1:5" ht="20.100000000000001" customHeight="1" x14ac:dyDescent="0.2">
      <c r="A20" s="20">
        <v>8</v>
      </c>
      <c r="B20" s="35">
        <f>VLOOKUP(B6,Tablas!B5:O14,9,0)</f>
        <v>0</v>
      </c>
      <c r="C20" s="20"/>
      <c r="D20" s="20"/>
      <c r="E20" s="20"/>
    </row>
    <row r="21" spans="1:5" ht="20.100000000000001" customHeight="1" x14ac:dyDescent="0.2">
      <c r="A21" s="20">
        <v>9</v>
      </c>
      <c r="B21" s="35">
        <f>VLOOKUP(B6,Tablas!B5:O14,10,0)</f>
        <v>0</v>
      </c>
      <c r="C21" s="20"/>
      <c r="D21" s="20"/>
      <c r="E21" s="20"/>
    </row>
    <row r="22" spans="1:5" ht="20.100000000000001" customHeight="1" x14ac:dyDescent="0.2">
      <c r="A22" s="20">
        <v>10</v>
      </c>
      <c r="B22" s="35">
        <f>VLOOKUP(B6,Tablas!B5:O14,11,0)</f>
        <v>0</v>
      </c>
      <c r="C22" s="22"/>
      <c r="D22" s="22"/>
      <c r="E22" s="22"/>
    </row>
    <row r="23" spans="1:5" ht="20.100000000000001" customHeight="1" x14ac:dyDescent="0.2">
      <c r="A23" s="20">
        <v>11</v>
      </c>
      <c r="B23" s="35">
        <f>VLOOKUP(B6,Tablas!B5:O14,12,0)</f>
        <v>0</v>
      </c>
      <c r="C23" s="22"/>
      <c r="D23" s="22"/>
      <c r="E23" s="22"/>
    </row>
    <row r="24" spans="1:5" ht="20.100000000000001" customHeight="1" x14ac:dyDescent="0.2">
      <c r="A24" s="20">
        <v>12</v>
      </c>
      <c r="B24" s="35">
        <f>VLOOKUP(B6,Tablas!B5:O14,13,0)</f>
        <v>0</v>
      </c>
      <c r="C24" s="22"/>
      <c r="D24" s="22"/>
      <c r="E24" s="22"/>
    </row>
    <row r="25" spans="1:5" ht="20.100000000000001" customHeight="1" x14ac:dyDescent="0.2">
      <c r="A25" s="20">
        <v>13</v>
      </c>
      <c r="B25" s="35">
        <f>VLOOKUP(B6,Tablas!B5:O14,14,0)</f>
        <v>0</v>
      </c>
      <c r="C25" s="22"/>
      <c r="D25" s="22"/>
      <c r="E25" s="22"/>
    </row>
    <row r="29" spans="1:5" x14ac:dyDescent="0.2">
      <c r="B29" s="23"/>
    </row>
    <row r="30" spans="1:5" ht="18" x14ac:dyDescent="0.25">
      <c r="B30" s="24" t="s">
        <v>73</v>
      </c>
      <c r="C30" s="48" t="str">
        <f>VLOOKUP(B30,Tablas!$C$21:$E$39,3,0)</f>
        <v>LILIAN BARRIENTOS</v>
      </c>
      <c r="D30" s="48"/>
      <c r="E30" s="48"/>
    </row>
    <row r="31" spans="1:5" x14ac:dyDescent="0.2">
      <c r="B31" s="9" t="str">
        <f>VLOOKUP(B30,Tablas!C21:F39,2,0)</f>
        <v>Asistente de Atencion al Cliente</v>
      </c>
      <c r="C31" s="49" t="str">
        <f>VLOOKUP(B30,Tablas!C21:F39,4,0)</f>
        <v>Coordinadora de Atencion al Cliente</v>
      </c>
      <c r="D31" s="49"/>
      <c r="E31" s="49"/>
    </row>
    <row r="34" spans="1:4" ht="12.75" customHeight="1" x14ac:dyDescent="0.2">
      <c r="A34" s="25" t="s">
        <v>69</v>
      </c>
      <c r="B34" s="47" t="s">
        <v>70</v>
      </c>
      <c r="C34" s="26"/>
      <c r="D34" s="26"/>
    </row>
    <row r="35" spans="1:4" x14ac:dyDescent="0.2">
      <c r="B35" s="47"/>
      <c r="C35" s="26"/>
      <c r="D35" s="26"/>
    </row>
    <row r="36" spans="1:4" ht="5.0999999999999996" customHeight="1" x14ac:dyDescent="0.2">
      <c r="C36" s="26"/>
      <c r="D36" s="26"/>
    </row>
    <row r="37" spans="1:4" x14ac:dyDescent="0.2">
      <c r="B37" s="26" t="s">
        <v>82</v>
      </c>
      <c r="C37" s="26"/>
      <c r="D37" s="26"/>
    </row>
    <row r="38" spans="1:4" ht="5.0999999999999996" customHeight="1" x14ac:dyDescent="0.2">
      <c r="B38" s="26"/>
      <c r="C38" s="26"/>
      <c r="D38" s="26"/>
    </row>
  </sheetData>
  <protectedRanges>
    <protectedRange sqref="B6 B8:B10 D10 B30 D8" name="Rango1"/>
  </protectedRanges>
  <mergeCells count="7">
    <mergeCell ref="D10:E10"/>
    <mergeCell ref="B6:E6"/>
    <mergeCell ref="A4:E4"/>
    <mergeCell ref="B34:B35"/>
    <mergeCell ref="C30:E30"/>
    <mergeCell ref="C31:E31"/>
    <mergeCell ref="D8:E8"/>
  </mergeCells>
  <dataValidations count="1">
    <dataValidation type="list" allowBlank="1" showInputMessage="1" showErrorMessage="1" sqref="B6:E7">
      <formula1>Operaciones</formula1>
    </dataValidation>
  </dataValidations>
  <pageMargins left="0.7" right="0.7" top="0.75" bottom="0.75" header="0.3" footer="0.3"/>
  <pageSetup scale="85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Tablas!$C$22:$C$39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0"/>
  <sheetViews>
    <sheetView tabSelected="1" workbookViewId="0">
      <selection activeCell="C17" sqref="C17"/>
    </sheetView>
  </sheetViews>
  <sheetFormatPr baseColWidth="10" defaultRowHeight="12.75" x14ac:dyDescent="0.2"/>
  <cols>
    <col min="2" max="2" width="25.42578125" bestFit="1" customWidth="1"/>
    <col min="3" max="3" width="38.42578125" bestFit="1" customWidth="1"/>
    <col min="4" max="4" width="32.5703125" bestFit="1" customWidth="1"/>
    <col min="5" max="6" width="48.5703125" bestFit="1" customWidth="1"/>
    <col min="7" max="7" width="47.7109375" bestFit="1" customWidth="1"/>
    <col min="8" max="8" width="47.140625" bestFit="1" customWidth="1"/>
    <col min="9" max="9" width="42.140625" bestFit="1" customWidth="1"/>
    <col min="10" max="10" width="43.5703125" bestFit="1" customWidth="1"/>
    <col min="11" max="11" width="50.85546875" bestFit="1" customWidth="1"/>
    <col min="12" max="12" width="56" bestFit="1" customWidth="1"/>
    <col min="13" max="13" width="22.42578125" bestFit="1" customWidth="1"/>
    <col min="14" max="15" width="40.140625" bestFit="1" customWidth="1"/>
  </cols>
  <sheetData>
    <row r="1" spans="1:15" ht="5.0999999999999996" customHeight="1" x14ac:dyDescent="0.2"/>
    <row r="2" spans="1:15" ht="18.75" x14ac:dyDescent="0.3">
      <c r="B2" s="50" t="s">
        <v>31</v>
      </c>
      <c r="C2" s="50"/>
      <c r="D2" s="50"/>
      <c r="E2" s="50"/>
      <c r="F2" s="50"/>
      <c r="G2" s="50"/>
      <c r="H2" s="50"/>
      <c r="I2" s="50"/>
      <c r="J2" s="50"/>
      <c r="K2" s="50"/>
      <c r="L2" s="50"/>
    </row>
    <row r="3" spans="1:15" ht="5.0999999999999996" customHeight="1" x14ac:dyDescent="0.2"/>
    <row r="4" spans="1:15" x14ac:dyDescent="0.2">
      <c r="A4" s="39" t="s">
        <v>116</v>
      </c>
      <c r="B4" s="6" t="s">
        <v>0</v>
      </c>
      <c r="C4" s="6" t="s">
        <v>12</v>
      </c>
      <c r="D4" s="6" t="s">
        <v>13</v>
      </c>
      <c r="E4" s="6" t="s">
        <v>14</v>
      </c>
      <c r="F4" s="6" t="s">
        <v>15</v>
      </c>
      <c r="G4" s="6" t="s">
        <v>16</v>
      </c>
      <c r="H4" s="6" t="s">
        <v>17</v>
      </c>
      <c r="I4" s="6" t="s">
        <v>18</v>
      </c>
      <c r="J4" s="6" t="s">
        <v>19</v>
      </c>
      <c r="K4" s="1" t="s">
        <v>20</v>
      </c>
      <c r="L4" s="1" t="s">
        <v>21</v>
      </c>
      <c r="M4" s="1" t="s">
        <v>36</v>
      </c>
      <c r="N4" s="1" t="s">
        <v>37</v>
      </c>
      <c r="O4" s="1" t="s">
        <v>88</v>
      </c>
    </row>
    <row r="5" spans="1:15" ht="15" x14ac:dyDescent="0.2">
      <c r="A5" s="51" t="s">
        <v>118</v>
      </c>
      <c r="B5" s="40" t="s">
        <v>55</v>
      </c>
      <c r="C5" s="40" t="s">
        <v>87</v>
      </c>
      <c r="D5" s="2" t="s">
        <v>86</v>
      </c>
      <c r="E5" s="40" t="s">
        <v>2</v>
      </c>
      <c r="F5" s="40" t="s">
        <v>83</v>
      </c>
      <c r="G5" s="40" t="s">
        <v>3</v>
      </c>
      <c r="H5" s="40" t="s">
        <v>32</v>
      </c>
      <c r="I5" s="40" t="s">
        <v>33</v>
      </c>
      <c r="J5" s="40" t="s">
        <v>34</v>
      </c>
      <c r="K5" s="40" t="s">
        <v>48</v>
      </c>
      <c r="L5" s="40" t="s">
        <v>47</v>
      </c>
      <c r="M5" s="40" t="s">
        <v>46</v>
      </c>
      <c r="N5" s="40" t="s">
        <v>35</v>
      </c>
      <c r="O5" s="40" t="s">
        <v>89</v>
      </c>
    </row>
    <row r="6" spans="1:15" ht="15" x14ac:dyDescent="0.25">
      <c r="A6" s="51" t="s">
        <v>117</v>
      </c>
      <c r="B6" s="40" t="s">
        <v>22</v>
      </c>
      <c r="C6" s="2" t="s">
        <v>99</v>
      </c>
      <c r="D6" s="40" t="s">
        <v>2</v>
      </c>
      <c r="E6" s="40" t="s">
        <v>83</v>
      </c>
      <c r="F6" s="40" t="s">
        <v>3</v>
      </c>
      <c r="G6" s="4" t="s">
        <v>38</v>
      </c>
      <c r="H6" s="4" t="s">
        <v>39</v>
      </c>
      <c r="I6" s="40" t="s">
        <v>1</v>
      </c>
      <c r="J6" s="40" t="s">
        <v>6</v>
      </c>
      <c r="K6" s="40"/>
      <c r="L6" s="40"/>
      <c r="M6" s="40"/>
      <c r="N6" s="40"/>
      <c r="O6" s="40"/>
    </row>
    <row r="7" spans="1:15" s="37" customFormat="1" ht="15" x14ac:dyDescent="0.2">
      <c r="A7" s="51" t="s">
        <v>119</v>
      </c>
      <c r="B7" s="40" t="s">
        <v>56</v>
      </c>
      <c r="C7" s="2" t="s">
        <v>100</v>
      </c>
      <c r="D7" s="40" t="s">
        <v>2</v>
      </c>
      <c r="E7" s="40" t="s">
        <v>83</v>
      </c>
      <c r="F7" s="40" t="s">
        <v>3</v>
      </c>
      <c r="G7" s="40" t="s">
        <v>40</v>
      </c>
      <c r="H7" s="40" t="s">
        <v>39</v>
      </c>
      <c r="I7" s="40" t="s">
        <v>98</v>
      </c>
      <c r="J7" s="41" t="s">
        <v>97</v>
      </c>
      <c r="K7" s="40" t="s">
        <v>41</v>
      </c>
      <c r="L7" s="40" t="s">
        <v>1</v>
      </c>
      <c r="M7" s="41"/>
      <c r="N7" s="41"/>
      <c r="O7" s="40"/>
    </row>
    <row r="8" spans="1:15" ht="15" x14ac:dyDescent="0.2">
      <c r="A8" s="51" t="s">
        <v>117</v>
      </c>
      <c r="B8" s="40" t="s">
        <v>120</v>
      </c>
      <c r="C8" s="2" t="s">
        <v>99</v>
      </c>
      <c r="D8" s="40" t="s">
        <v>2</v>
      </c>
      <c r="E8" s="40" t="s">
        <v>83</v>
      </c>
      <c r="F8" s="40" t="s">
        <v>3</v>
      </c>
      <c r="G8" s="52" t="s">
        <v>101</v>
      </c>
      <c r="H8" s="40" t="s">
        <v>1</v>
      </c>
      <c r="I8" s="40" t="s">
        <v>6</v>
      </c>
      <c r="J8" s="40"/>
      <c r="K8" s="40"/>
      <c r="L8" s="40"/>
      <c r="M8" s="40"/>
      <c r="N8" s="40"/>
      <c r="O8" s="40"/>
    </row>
    <row r="9" spans="1:15" s="37" customFormat="1" ht="15" x14ac:dyDescent="0.2">
      <c r="A9" s="51" t="s">
        <v>117</v>
      </c>
      <c r="B9" s="40" t="s">
        <v>121</v>
      </c>
      <c r="C9" s="2" t="s">
        <v>86</v>
      </c>
      <c r="D9" s="40" t="s">
        <v>42</v>
      </c>
      <c r="E9" s="40" t="s">
        <v>2</v>
      </c>
      <c r="F9" s="40" t="s">
        <v>83</v>
      </c>
      <c r="G9" s="40" t="s">
        <v>96</v>
      </c>
      <c r="H9" s="52" t="s">
        <v>102</v>
      </c>
      <c r="I9" s="40" t="s">
        <v>103</v>
      </c>
      <c r="J9" s="40" t="s">
        <v>44</v>
      </c>
      <c r="K9" s="40" t="s">
        <v>43</v>
      </c>
      <c r="L9" s="40" t="s">
        <v>45</v>
      </c>
      <c r="M9" s="40" t="s">
        <v>104</v>
      </c>
      <c r="N9" s="41"/>
      <c r="O9" s="40"/>
    </row>
    <row r="10" spans="1:15" x14ac:dyDescent="0.2">
      <c r="A10" s="51" t="s">
        <v>117</v>
      </c>
      <c r="B10" s="40" t="s">
        <v>114</v>
      </c>
      <c r="C10" s="40" t="s">
        <v>53</v>
      </c>
      <c r="D10" s="40" t="s">
        <v>90</v>
      </c>
      <c r="E10" s="40" t="s">
        <v>52</v>
      </c>
      <c r="F10" s="40" t="s">
        <v>51</v>
      </c>
      <c r="G10" s="40" t="s">
        <v>34</v>
      </c>
      <c r="H10" s="40" t="s">
        <v>112</v>
      </c>
      <c r="I10" s="40" t="s">
        <v>110</v>
      </c>
      <c r="J10" s="40" t="s">
        <v>47</v>
      </c>
      <c r="K10" s="40" t="s">
        <v>46</v>
      </c>
      <c r="L10" s="40" t="s">
        <v>50</v>
      </c>
      <c r="M10" s="40"/>
      <c r="N10" s="40"/>
      <c r="O10" s="40"/>
    </row>
    <row r="11" spans="1:15" s="37" customFormat="1" x14ac:dyDescent="0.2">
      <c r="A11" s="51" t="s">
        <v>117</v>
      </c>
      <c r="B11" s="40" t="s">
        <v>115</v>
      </c>
      <c r="C11" s="40" t="s">
        <v>79</v>
      </c>
      <c r="D11" s="41" t="s">
        <v>78</v>
      </c>
      <c r="E11" s="40" t="s">
        <v>83</v>
      </c>
      <c r="F11" s="40" t="s">
        <v>77</v>
      </c>
      <c r="G11" s="40" t="s">
        <v>3</v>
      </c>
      <c r="H11" s="40" t="s">
        <v>76</v>
      </c>
      <c r="I11" s="41"/>
      <c r="J11" s="41"/>
      <c r="K11" s="40"/>
      <c r="L11" s="40"/>
      <c r="M11" s="40"/>
      <c r="N11" s="40"/>
      <c r="O11" s="40"/>
    </row>
    <row r="12" spans="1:15" ht="15" x14ac:dyDescent="0.2">
      <c r="A12" s="51" t="s">
        <v>117</v>
      </c>
      <c r="B12" s="40" t="s">
        <v>80</v>
      </c>
      <c r="C12" s="2" t="s">
        <v>99</v>
      </c>
      <c r="D12" s="40" t="s">
        <v>39</v>
      </c>
      <c r="E12" s="40" t="s">
        <v>81</v>
      </c>
      <c r="F12" s="52" t="s">
        <v>91</v>
      </c>
      <c r="G12" s="40"/>
      <c r="H12" s="40"/>
      <c r="I12" s="40"/>
      <c r="J12" s="40"/>
      <c r="K12" s="40"/>
      <c r="L12" s="40"/>
      <c r="M12" s="40"/>
      <c r="N12" s="40"/>
      <c r="O12" s="40"/>
    </row>
    <row r="13" spans="1:15" x14ac:dyDescent="0.2">
      <c r="A13" s="51" t="s">
        <v>117</v>
      </c>
      <c r="B13" s="40" t="s">
        <v>105</v>
      </c>
      <c r="C13" s="40" t="s">
        <v>106</v>
      </c>
      <c r="D13" s="40" t="s">
        <v>90</v>
      </c>
      <c r="E13" s="40" t="s">
        <v>107</v>
      </c>
      <c r="F13" s="40" t="s">
        <v>108</v>
      </c>
      <c r="G13" s="40" t="s">
        <v>109</v>
      </c>
      <c r="H13" s="40" t="s">
        <v>34</v>
      </c>
      <c r="I13" s="40" t="s">
        <v>49</v>
      </c>
      <c r="J13" s="40" t="s">
        <v>110</v>
      </c>
      <c r="K13" s="40" t="s">
        <v>47</v>
      </c>
      <c r="L13" s="40" t="s">
        <v>46</v>
      </c>
      <c r="M13" s="40" t="s">
        <v>50</v>
      </c>
      <c r="N13" s="40"/>
      <c r="O13" s="40"/>
    </row>
    <row r="14" spans="1:15" ht="15" x14ac:dyDescent="0.2">
      <c r="B14" s="1" t="s">
        <v>25</v>
      </c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2">
      <c r="B15" s="34" t="s">
        <v>92</v>
      </c>
    </row>
    <row r="16" spans="1:15" x14ac:dyDescent="0.2">
      <c r="B16" s="34" t="s">
        <v>93</v>
      </c>
    </row>
    <row r="17" spans="2:6" x14ac:dyDescent="0.2">
      <c r="B17" s="34" t="s">
        <v>94</v>
      </c>
    </row>
    <row r="21" spans="2:6" x14ac:dyDescent="0.2">
      <c r="B21" s="5" t="s">
        <v>8</v>
      </c>
      <c r="C21" s="1" t="s">
        <v>26</v>
      </c>
      <c r="D21" s="5" t="s">
        <v>29</v>
      </c>
      <c r="E21" s="1" t="s">
        <v>71</v>
      </c>
      <c r="F21" s="1" t="s">
        <v>29</v>
      </c>
    </row>
    <row r="22" spans="2:6" x14ac:dyDescent="0.2">
      <c r="B22" s="5">
        <v>1</v>
      </c>
      <c r="C22" s="1" t="s">
        <v>111</v>
      </c>
      <c r="D22" s="1" t="s">
        <v>30</v>
      </c>
      <c r="E22" s="1" t="s">
        <v>64</v>
      </c>
      <c r="F22" s="1" t="s">
        <v>72</v>
      </c>
    </row>
    <row r="23" spans="2:6" x14ac:dyDescent="0.2">
      <c r="B23" s="5">
        <v>2</v>
      </c>
      <c r="C23" s="1" t="s">
        <v>28</v>
      </c>
      <c r="D23" s="1" t="s">
        <v>30</v>
      </c>
      <c r="E23" s="1" t="s">
        <v>64</v>
      </c>
      <c r="F23" s="1" t="s">
        <v>72</v>
      </c>
    </row>
    <row r="24" spans="2:6" x14ac:dyDescent="0.2">
      <c r="B24" s="5">
        <v>3</v>
      </c>
      <c r="C24" s="1" t="s">
        <v>27</v>
      </c>
      <c r="D24" s="1" t="s">
        <v>30</v>
      </c>
      <c r="E24" s="1" t="s">
        <v>64</v>
      </c>
      <c r="F24" s="1" t="s">
        <v>72</v>
      </c>
    </row>
    <row r="25" spans="2:6" x14ac:dyDescent="0.2">
      <c r="B25" s="5">
        <v>4</v>
      </c>
      <c r="C25" s="1" t="s">
        <v>113</v>
      </c>
      <c r="D25" s="1" t="s">
        <v>30</v>
      </c>
      <c r="E25" s="1" t="s">
        <v>64</v>
      </c>
      <c r="F25" s="1" t="s">
        <v>72</v>
      </c>
    </row>
    <row r="26" spans="2:6" x14ac:dyDescent="0.2">
      <c r="B26" s="5">
        <v>5</v>
      </c>
      <c r="C26" s="1" t="s">
        <v>62</v>
      </c>
      <c r="D26" s="1" t="s">
        <v>65</v>
      </c>
      <c r="E26" s="1" t="s">
        <v>64</v>
      </c>
      <c r="F26" s="1" t="s">
        <v>72</v>
      </c>
    </row>
    <row r="27" spans="2:6" x14ac:dyDescent="0.2">
      <c r="B27" s="5">
        <v>6</v>
      </c>
      <c r="C27" s="1" t="s">
        <v>64</v>
      </c>
      <c r="D27" s="1" t="s">
        <v>72</v>
      </c>
      <c r="F27" s="1"/>
    </row>
    <row r="28" spans="2:6" x14ac:dyDescent="0.2">
      <c r="B28" s="5">
        <v>7</v>
      </c>
      <c r="C28" s="1" t="s">
        <v>63</v>
      </c>
      <c r="D28" s="1" t="s">
        <v>65</v>
      </c>
      <c r="E28" s="1" t="s">
        <v>64</v>
      </c>
      <c r="F28" s="1" t="s">
        <v>72</v>
      </c>
    </row>
    <row r="29" spans="2:6" x14ac:dyDescent="0.2">
      <c r="B29" s="5">
        <v>8</v>
      </c>
      <c r="C29" s="1" t="s">
        <v>54</v>
      </c>
      <c r="D29" s="1" t="s">
        <v>30</v>
      </c>
      <c r="E29" s="1" t="s">
        <v>64</v>
      </c>
      <c r="F29" s="1" t="s">
        <v>72</v>
      </c>
    </row>
    <row r="30" spans="2:6" x14ac:dyDescent="0.2">
      <c r="B30" s="5">
        <v>9</v>
      </c>
      <c r="C30" s="1" t="s">
        <v>58</v>
      </c>
      <c r="D30" s="1" t="s">
        <v>30</v>
      </c>
      <c r="E30" s="1" t="s">
        <v>64</v>
      </c>
      <c r="F30" s="1" t="s">
        <v>72</v>
      </c>
    </row>
    <row r="31" spans="2:6" x14ac:dyDescent="0.2">
      <c r="B31" s="5">
        <v>10</v>
      </c>
      <c r="C31" s="1" t="s">
        <v>66</v>
      </c>
      <c r="D31" s="1" t="s">
        <v>67</v>
      </c>
      <c r="E31" s="1" t="s">
        <v>64</v>
      </c>
      <c r="F31" s="1" t="s">
        <v>72</v>
      </c>
    </row>
    <row r="32" spans="2:6" x14ac:dyDescent="0.2">
      <c r="B32" s="5">
        <v>11</v>
      </c>
      <c r="C32" s="1" t="s">
        <v>60</v>
      </c>
      <c r="D32" s="1" t="s">
        <v>30</v>
      </c>
      <c r="E32" s="1" t="s">
        <v>64</v>
      </c>
      <c r="F32" s="1" t="s">
        <v>72</v>
      </c>
    </row>
    <row r="33" spans="2:6" x14ac:dyDescent="0.2">
      <c r="B33" s="5">
        <v>12</v>
      </c>
      <c r="C33" s="1" t="s">
        <v>68</v>
      </c>
      <c r="D33" s="1" t="s">
        <v>30</v>
      </c>
      <c r="E33" s="1" t="s">
        <v>64</v>
      </c>
      <c r="F33" s="1" t="s">
        <v>72</v>
      </c>
    </row>
    <row r="34" spans="2:6" x14ac:dyDescent="0.2">
      <c r="B34" s="5">
        <v>13</v>
      </c>
      <c r="C34" s="1" t="s">
        <v>61</v>
      </c>
      <c r="D34" s="1" t="s">
        <v>30</v>
      </c>
      <c r="E34" s="1" t="s">
        <v>64</v>
      </c>
      <c r="F34" s="1" t="s">
        <v>72</v>
      </c>
    </row>
    <row r="35" spans="2:6" x14ac:dyDescent="0.2">
      <c r="B35" s="5">
        <v>14</v>
      </c>
      <c r="C35" s="1" t="s">
        <v>57</v>
      </c>
      <c r="D35" s="1" t="s">
        <v>30</v>
      </c>
      <c r="E35" s="1" t="s">
        <v>64</v>
      </c>
      <c r="F35" s="1" t="s">
        <v>72</v>
      </c>
    </row>
    <row r="36" spans="2:6" x14ac:dyDescent="0.2">
      <c r="B36" s="5">
        <v>15</v>
      </c>
      <c r="C36" s="1" t="s">
        <v>59</v>
      </c>
      <c r="D36" s="1" t="s">
        <v>30</v>
      </c>
      <c r="E36" s="1" t="s">
        <v>64</v>
      </c>
      <c r="F36" s="1" t="s">
        <v>72</v>
      </c>
    </row>
    <row r="37" spans="2:6" x14ac:dyDescent="0.2">
      <c r="B37" s="8">
        <v>16</v>
      </c>
      <c r="C37" s="3" t="s">
        <v>73</v>
      </c>
      <c r="D37" s="1" t="s">
        <v>30</v>
      </c>
      <c r="E37" s="1" t="s">
        <v>64</v>
      </c>
      <c r="F37" s="1" t="s">
        <v>72</v>
      </c>
    </row>
    <row r="38" spans="2:6" x14ac:dyDescent="0.2">
      <c r="B38" s="8">
        <v>17</v>
      </c>
      <c r="C38" s="3" t="s">
        <v>74</v>
      </c>
      <c r="D38" s="1" t="s">
        <v>30</v>
      </c>
      <c r="E38" s="1" t="s">
        <v>64</v>
      </c>
      <c r="F38" s="1" t="s">
        <v>72</v>
      </c>
    </row>
    <row r="39" spans="2:6" x14ac:dyDescent="0.2">
      <c r="B39" s="8">
        <v>18</v>
      </c>
      <c r="C39" s="3" t="s">
        <v>75</v>
      </c>
      <c r="D39" s="1" t="s">
        <v>30</v>
      </c>
      <c r="E39" s="1" t="s">
        <v>64</v>
      </c>
      <c r="F39" s="1" t="s">
        <v>72</v>
      </c>
    </row>
    <row r="40" spans="2:6" x14ac:dyDescent="0.2">
      <c r="E40" s="1" t="s">
        <v>64</v>
      </c>
    </row>
  </sheetData>
  <sortState ref="B22:D45">
    <sortCondition ref="C22"/>
  </sortState>
  <dataConsolidate/>
  <mergeCells count="1">
    <mergeCell ref="B2:L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Informe</vt:lpstr>
      <vt:lpstr>Tablas</vt:lpstr>
      <vt:lpstr>Informe!Área_de_impresión</vt:lpstr>
      <vt:lpstr>Operaciones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Blanco S.</dc:creator>
  <cp:lastModifiedBy>Ruben Dario Torres</cp:lastModifiedBy>
  <cp:lastPrinted>2022-04-05T13:53:19Z</cp:lastPrinted>
  <dcterms:created xsi:type="dcterms:W3CDTF">2022-01-14T13:51:27Z</dcterms:created>
  <dcterms:modified xsi:type="dcterms:W3CDTF">2022-04-05T21:38:02Z</dcterms:modified>
</cp:coreProperties>
</file>